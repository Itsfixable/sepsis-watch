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 Deal" sheetId="1" state="visible" r:id="rId1"/>
    <sheet name="Upgrade (+$15)" sheetId="2" state="visible" r:id="rId2"/>
    <sheet name="Options compared" sheetId="3" state="visible" r:id="rId3"/>
    <sheet name="Sources" sheetId="4" state="visible" r:id="rId4"/>
  </sheets>
  <definedNames/>
  <calcPr calcId="124519" fullCalcOnLoad="1"/>
</workbook>
</file>

<file path=xl/styles.xml><?xml version="1.0" encoding="utf-8"?>
<styleSheet xmlns="http://schemas.openxmlformats.org/spreadsheetml/2006/main">
  <numFmts count="1">
    <numFmt numFmtId="164" formatCode="$#,##0.00;($#,##0.00);&quot;-&quot;"/>
  </numFmts>
  <fonts count="11">
    <font>
      <name val="Calibri"/>
      <family val="2"/>
      <color theme="1"/>
      <sz val="11"/>
      <scheme val="minor"/>
    </font>
    <font>
      <name val="Arial"/>
      <b val="1"/>
      <sz val="14"/>
    </font>
    <font>
      <name val="Arial"/>
      <i val="1"/>
      <color rgb="00555555"/>
      <sz val="10"/>
    </font>
    <font>
      <name val="Arial"/>
      <b val="1"/>
      <color rgb="00FFFFFF"/>
      <sz val="10"/>
    </font>
    <font>
      <name val="Arial"/>
      <sz val="10"/>
    </font>
    <font>
      <name val="Arial"/>
      <color rgb="000563C1"/>
      <sz val="10"/>
      <u val="single"/>
    </font>
    <font>
      <name val="Arial"/>
      <color rgb="000000FF"/>
      <sz val="10"/>
    </font>
    <font>
      <name val="Arial"/>
      <color rgb="00000000"/>
      <sz val="10"/>
    </font>
    <font>
      <name val="Arial"/>
      <b val="1"/>
      <sz val="10"/>
    </font>
    <font>
      <name val="Arial"/>
      <color rgb="00008000"/>
      <sz val="10"/>
    </font>
    <font>
      <name val="Arial"/>
      <b val="1"/>
      <color rgb="00008000"/>
      <sz val="10"/>
    </font>
  </fonts>
  <fills count="5">
    <fill>
      <patternFill/>
    </fill>
    <fill>
      <patternFill patternType="gray125"/>
    </fill>
    <fill>
      <patternFill patternType="solid">
        <fgColor rgb="001F2A30"/>
      </patternFill>
    </fill>
    <fill>
      <patternFill patternType="solid">
        <fgColor rgb="00FFFF00"/>
      </patternFill>
    </fill>
    <fill>
      <patternFill patternType="solid">
        <fgColor rgb="00E8EEF0"/>
      </patternFill>
    </fill>
  </fills>
  <borders count="2">
    <border>
      <left/>
      <right/>
      <top/>
      <bottom/>
      <diagonal/>
    </border>
    <border>
      <left style="thin">
        <color rgb="00BFC7CA"/>
      </left>
      <right style="thin">
        <color rgb="00BFC7CA"/>
      </right>
      <top style="thin">
        <color rgb="00BFC7CA"/>
      </top>
      <bottom style="thin">
        <color rgb="00BFC7CA"/>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164" fontId="6" fillId="0" borderId="1" applyAlignment="1" pivotButton="0" quotePrefix="0" xfId="0">
      <alignment vertical="top" wrapText="1"/>
    </xf>
    <xf numFmtId="164" fontId="7" fillId="0" borderId="1" applyAlignment="1" pivotButton="0" quotePrefix="0" xfId="0">
      <alignment vertical="top" wrapText="1"/>
    </xf>
    <xf numFmtId="0" fontId="8" fillId="4" borderId="0" pivotButton="0" quotePrefix="0" xfId="0"/>
    <xf numFmtId="164" fontId="8" fillId="0" borderId="1" pivotButton="0" quotePrefix="0" xfId="0"/>
    <xf numFmtId="164" fontId="6" fillId="3" borderId="1" pivotButton="0" quotePrefix="0" xfId="0"/>
    <xf numFmtId="0" fontId="8" fillId="0" borderId="0" applyAlignment="1" pivotButton="0" quotePrefix="0" xfId="0">
      <alignment vertical="top" wrapText="1"/>
    </xf>
    <xf numFmtId="0" fontId="8" fillId="0" borderId="0" pivotButton="0" quotePrefix="0" xfId="0"/>
    <xf numFmtId="0" fontId="0" fillId="0" borderId="1" pivotButton="0" quotePrefix="0" xfId="0"/>
    <xf numFmtId="0" fontId="6" fillId="0" borderId="0" pivotButton="0" quotePrefix="0" xfId="0"/>
    <xf numFmtId="0" fontId="7" fillId="0" borderId="0" pivotButton="0" quotePrefix="0" xfId="0"/>
    <xf numFmtId="0" fontId="9" fillId="0" borderId="0" pivotButton="0" quotePrefix="0" xfId="0"/>
    <xf numFmtId="0" fontId="4" fillId="3" borderId="0" pivotButton="0" quotePrefix="0" xfId="0"/>
    <xf numFmtId="164" fontId="9" fillId="0" borderId="1" pivotButton="0" quotePrefix="0" xfId="0"/>
    <xf numFmtId="0" fontId="4" fillId="0" borderId="0" applyAlignment="1" pivotButton="0" quotePrefix="0" xfId="0">
      <alignment vertical="top" wrapText="1"/>
    </xf>
    <xf numFmtId="0" fontId="4" fillId="0" borderId="0" pivotButton="0" quotePrefix="0" xfId="0"/>
    <xf numFmtId="0" fontId="3" fillId="2" borderId="1" pivotButton="0" quotePrefix="0" xfId="0"/>
    <xf numFmtId="164" fontId="9" fillId="0" borderId="1" applyAlignment="1" pivotButton="0" quotePrefix="0" xfId="0">
      <alignment vertical="top" wrapText="1"/>
    </xf>
    <xf numFmtId="0" fontId="10" fillId="0"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SepsisWatch</author>
  </authors>
  <commentList>
    <comment ref="F5" authorId="0" shapeId="0">
      <text>
        <t>Source: seeedstudio.com product page, $26.99, in stock, checked Oct 6, 2026.</t>
      </text>
    </comment>
    <comment ref="G8" authorId="0" shapeId="0">
      <text>
        <t>Type the shipping + tax shown at checkout, e.g. 7.50. Leave blank until you know it.</t>
      </text>
    </comment>
    <comment ref="G10" authorId="0" shapeId="0">
      <text>
        <t>Budget you gave: about $30. Change it if needed.</t>
      </text>
    </comment>
  </commentList>
</comments>
</file>

<file path=xl/comments/comment2.xml><?xml version="1.0" encoding="utf-8"?>
<comments xmlns="http://schemas.openxmlformats.org/spreadsheetml/2006/main">
  <authors>
    <author>SepsisWatch</author>
  </authors>
  <commentList>
    <comment ref="F5" authorId="0" shapeId="0">
      <text>
        <t>Source: shillehtek.com listing, $6.99, in stock, checked Oct 6, 2026.</t>
      </text>
    </comment>
    <comment ref="F6" authorId="0" shapeId="0">
      <text>
        <t>Source: adafruit.com product 5027, $4.95, in stock, checked Oct 6, 2026.</t>
      </text>
    </comment>
    <comment ref="F7" authorId="0" shapeId="0">
      <text>
        <t>Source: adafruit.com product 4528, $1.95, checked Oct 6, 2026.</t>
      </text>
    </comment>
    <comment ref="F8" authorId="0" shapeId="0">
      <text>
        <t>Source: adafruit.com product 4397, $0.95, checked Oct 6, 2026.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eedstudio.com/MR60BHA2-60GHz-mmWave-Sensor-Breathing-and-Heartbeat-Module-p-5945.html"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shillehtek.com/products/max30102-heart-rate-pulse-oximeter-sensor-module-black-presoldered" TargetMode="External" Id="rId1" /><Relationship Type="http://schemas.openxmlformats.org/officeDocument/2006/relationships/hyperlink" Target="https://www.adafruit.com/product/5027" TargetMode="External" Id="rId2" /><Relationship Type="http://schemas.openxmlformats.org/officeDocument/2006/relationships/hyperlink" Target="https://www.adafruit.com/product/4528" TargetMode="External" Id="rId3" /><Relationship Type="http://schemas.openxmlformats.org/officeDocument/2006/relationships/hyperlink" Target="https://www.adafruit.com/product/4397" TargetMode="External" Id="rId4"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www.seeedstudio.com/MR60BHA2-60GHz-mmWave-Sensor-Breathing-and-Heartbeat-Module-p-5945.html" TargetMode="External" Id="rId1" /><Relationship Type="http://schemas.openxmlformats.org/officeDocument/2006/relationships/hyperlink" Target="https://wiki.seeedstudio.com/getting_started_with_mr60bha2_mmwave_kit/" TargetMode="External" Id="rId2" /><Relationship Type="http://schemas.openxmlformats.org/officeDocument/2006/relationships/hyperlink" Target="https://fabacademy.org/2025/labs/barcelona/students/andrew-mark/notion_final_project_electronics_and_control/notion_final_project_electronics_and_control.html" TargetMode="External" Id="rId3" /><Relationship Type="http://schemas.openxmlformats.org/officeDocument/2006/relationships/hyperlink" Target="https://shillehtek.com/products/max30102-heart-rate-pulse-oximeter-sensor-module-black-presoldered" TargetMode="External" Id="rId4" /><Relationship Type="http://schemas.openxmlformats.org/officeDocument/2006/relationships/hyperlink" Target="https://www.adafruit.com/product/5027" TargetMode="External" Id="rId5" /><Relationship Type="http://schemas.openxmlformats.org/officeDocument/2006/relationships/hyperlink" Target="https://www.adafruit.com/product/4528" TargetMode="External" Id="rId6" /><Relationship Type="http://schemas.openxmlformats.org/officeDocument/2006/relationships/hyperlink" Target="https://www.adafruit.com/product/4397" TargetMode="External" Id="rId7" /><Relationship Type="http://schemas.openxmlformats.org/officeDocument/2006/relationships/hyperlink" Target="https://www.aliexpress.us/item/3256806116731945.html" TargetMode="External" Id="rId8" /><Relationship Type="http://schemas.openxmlformats.org/officeDocument/2006/relationships/hyperlink" Target="https://www.seeedstudio.com/blog/2025/06/05/free-shipping-is-back-faster-global-delivery-now-available/" TargetMode="External" Id="rId9" /></Relationships>
</file>

<file path=xl/worksheets/sheet1.xml><?xml version="1.0" encoding="utf-8"?>
<worksheet xmlns="http://schemas.openxmlformats.org/spreadsheetml/2006/main">
  <sheetPr>
    <outlinePr summaryBelow="1" summaryRight="1"/>
    <pageSetUpPr fitToPage="1"/>
  </sheetPr>
  <dimension ref="A1:H23"/>
  <sheetViews>
    <sheetView showGridLines="0" workbookViewId="0">
      <pane ySplit="4" topLeftCell="A5" activePane="bottomLeft" state="frozen"/>
      <selection pane="bottomLeft" activeCell="A1" sqref="A1"/>
    </sheetView>
  </sheetViews>
  <sheetFormatPr baseColWidth="8" defaultRowHeight="15"/>
  <cols>
    <col width="34" customWidth="1" min="1" max="1"/>
    <col width="40" customWidth="1" min="2" max="2"/>
    <col width="18" customWidth="1" min="3" max="3"/>
    <col width="8" customWidth="1" min="4" max="4"/>
    <col width="6" customWidth="1" min="5" max="5"/>
    <col width="12" customWidth="1" min="6" max="6"/>
    <col width="12" customWidth="1" min="7" max="7"/>
    <col width="46" customWidth="1" min="8" max="8"/>
  </cols>
  <sheetData>
    <row r="1">
      <c r="A1" s="1" t="inlineStr">
        <is>
          <t>SepsisWatch hardware: best deal (radar only)</t>
        </is>
      </c>
    </row>
    <row r="2">
      <c r="A2" s="2" t="inlineStr">
        <is>
          <t>Prices checked on the store websites, Oct 6, 2026. Shipping and tax are not included.</t>
        </is>
      </c>
    </row>
    <row r="4">
      <c r="A4" s="3" t="inlineStr">
        <is>
          <t>Item to buy</t>
        </is>
      </c>
      <c r="B4" s="3" t="inlineStr">
        <is>
          <t>What it does</t>
        </is>
      </c>
      <c r="C4" s="3" t="inlineStr">
        <is>
          <t>Store</t>
        </is>
      </c>
      <c r="D4" s="3" t="inlineStr">
        <is>
          <t>Link</t>
        </is>
      </c>
      <c r="E4" s="3" t="inlineStr">
        <is>
          <t>Qty</t>
        </is>
      </c>
      <c r="F4" s="3" t="inlineStr">
        <is>
          <t>Unit price</t>
        </is>
      </c>
      <c r="G4" s="3" t="inlineStr">
        <is>
          <t>Line total</t>
        </is>
      </c>
      <c r="H4" s="3" t="inlineStr">
        <is>
          <t>Notes</t>
        </is>
      </c>
    </row>
    <row r="5" ht="54" customHeight="1">
      <c r="A5" s="4" t="inlineStr">
        <is>
          <t>Seeed XIAO MR60BHA2 60 GHz mmWave kit (XIAO ESP32-C6 board included)</t>
        </is>
      </c>
      <c r="B5" s="4" t="inlineStr">
        <is>
          <t>Measures heart rate and breathing without touching the patient. Its built-in Wi-Fi board sends readings to your Mac.</t>
        </is>
      </c>
      <c r="C5" s="4" t="inlineStr">
        <is>
          <t>Seeed Studio</t>
        </is>
      </c>
      <c r="D5" s="5" t="inlineStr">
        <is>
          <t>Open</t>
        </is>
      </c>
      <c r="E5" s="6" t="n">
        <v>1</v>
      </c>
      <c r="F5" s="7" t="n">
        <v>26.99</v>
      </c>
      <c r="G5" s="8">
        <f>E5*F5</f>
        <v/>
      </c>
      <c r="H5" s="4" t="inlineStr">
        <is>
          <t>Also sold on Amazon (item B0F3CCM5P6). Compare the total with shipping before you buy: Seeed charges shipping on small orders.</t>
        </is>
      </c>
    </row>
    <row r="7">
      <c r="F7" s="9" t="inlineStr">
        <is>
          <t>Parts subtotal</t>
        </is>
      </c>
      <c r="G7" s="10">
        <f>SUM(G5:G5)</f>
        <v/>
      </c>
    </row>
    <row r="8">
      <c r="F8" s="9" t="inlineStr">
        <is>
          <t>Shipping + tax</t>
        </is>
      </c>
      <c r="G8" s="11" t="n"/>
    </row>
    <row r="9">
      <c r="F9" s="9" t="inlineStr">
        <is>
          <t>Total</t>
        </is>
      </c>
      <c r="G9" s="10">
        <f>G7+N(G8)</f>
        <v/>
      </c>
      <c r="H9" s="12">
        <f>IF(ISBLANK(G8),IF(G7&lt;=G10,"Parts are $"&amp;TEXT(G10-G7,"0.00")&amp;" under budget. Add shipping + tax to check the real total.","Parts are $"&amp;TEXT(G7-G10,"0.00")&amp;" over budget."),IF(G9&lt;=G10,"Under budget by $"&amp;TEXT(G10-G9,"0.00"),"Over budget by $"&amp;TEXT(G9-G10,"0.00")))</f>
        <v/>
      </c>
    </row>
    <row r="10">
      <c r="F10" s="9" t="inlineStr">
        <is>
          <t>Your budget</t>
        </is>
      </c>
      <c r="G10" s="11" t="n">
        <v>30</v>
      </c>
    </row>
    <row r="12">
      <c r="A12" s="13" t="inlineStr">
        <is>
          <t>You also need these (you probably already have them, so they cost $0)</t>
        </is>
      </c>
    </row>
    <row r="13">
      <c r="A13" s="3" t="inlineStr">
        <is>
          <t>Item</t>
        </is>
      </c>
      <c r="B13" s="3" t="inlineStr">
        <is>
          <t>What it's for</t>
        </is>
      </c>
      <c r="C13" s="3" t="inlineStr">
        <is>
          <t>Where</t>
        </is>
      </c>
      <c r="D13" s="3" t="inlineStr"/>
      <c r="E13" s="3" t="inlineStr"/>
      <c r="F13" s="3" t="inlineStr"/>
      <c r="G13" s="3" t="inlineStr"/>
      <c r="H13" s="3" t="inlineStr">
        <is>
          <t>Notes</t>
        </is>
      </c>
    </row>
    <row r="14" ht="28" customHeight="1">
      <c r="A14" s="4" t="inlineStr">
        <is>
          <t>USB-C cable</t>
        </is>
      </c>
      <c r="B14" s="4" t="inlineStr">
        <is>
          <t>Powers the kit and uploads code to it from your Mac.</t>
        </is>
      </c>
      <c r="C14" s="4" t="inlineStr">
        <is>
          <t>Home</t>
        </is>
      </c>
      <c r="D14" s="14" t="n"/>
      <c r="E14" s="14" t="n"/>
      <c r="F14" s="14" t="n"/>
      <c r="G14" s="14" t="n"/>
      <c r="H14" s="4" t="inlineStr">
        <is>
          <t>Must be a data cable. Some cheap cables only charge.</t>
        </is>
      </c>
    </row>
    <row r="15" ht="28" customHeight="1">
      <c r="A15" s="4" t="inlineStr">
        <is>
          <t>USB power, 5 V / 1 A or more</t>
        </is>
      </c>
      <c r="B15" s="4" t="inlineStr">
        <is>
          <t>Powers the kit at the bedside.</t>
        </is>
      </c>
      <c r="C15" s="4" t="inlineStr">
        <is>
          <t>Home</t>
        </is>
      </c>
      <c r="D15" s="14" t="n"/>
      <c r="E15" s="14" t="n"/>
      <c r="F15" s="14" t="n"/>
      <c r="G15" s="14" t="n"/>
      <c r="H15" s="4" t="inlineStr">
        <is>
          <t>A phone charger or your Mac's USB port works.</t>
        </is>
      </c>
    </row>
    <row r="16" ht="28" customHeight="1">
      <c r="A16" s="4" t="inlineStr">
        <is>
          <t>Fingertip pulse oximeter</t>
        </is>
      </c>
      <c r="B16" s="4" t="inlineStr">
        <is>
          <t>Gives SpO2 for you to type in by hand.</t>
        </is>
      </c>
      <c r="C16" s="4" t="inlineStr">
        <is>
          <t>Home or borrow</t>
        </is>
      </c>
      <c r="D16" s="14" t="n"/>
      <c r="E16" s="14" t="n"/>
      <c r="F16" s="14" t="n"/>
      <c r="G16" s="14" t="n"/>
      <c r="H16" s="4" t="inlineStr">
        <is>
          <t>Optional. The dashboard shows "--" if you skip it.</t>
        </is>
      </c>
    </row>
    <row r="17" ht="28" customHeight="1">
      <c r="A17" s="4" t="inlineStr">
        <is>
          <t>Digital thermometer</t>
        </is>
      </c>
      <c r="B17" s="4" t="inlineStr">
        <is>
          <t>Gives temperature for you to type in by hand.</t>
        </is>
      </c>
      <c r="C17" s="4" t="inlineStr">
        <is>
          <t>Home or borrow</t>
        </is>
      </c>
      <c r="D17" s="14" t="n"/>
      <c r="E17" s="14" t="n"/>
      <c r="F17" s="14" t="n"/>
      <c r="G17" s="14" t="n"/>
      <c r="H17" s="4" t="inlineStr">
        <is>
          <t>Optional. Hospitals often record temperature only every few hours.</t>
        </is>
      </c>
    </row>
    <row r="19">
      <c r="A19" s="13" t="inlineStr">
        <is>
          <t>How to read this sheet</t>
        </is>
      </c>
    </row>
    <row r="20">
      <c r="A20" s="15" t="inlineStr">
        <is>
          <t>Blue numbers: prices and quantities typed in from the store pages. Change them if a price changes.</t>
        </is>
      </c>
    </row>
    <row r="21">
      <c r="A21" s="16" t="inlineStr">
        <is>
          <t>Black numbers: formulas. They update on their own.</t>
        </is>
      </c>
    </row>
    <row r="22">
      <c r="A22" s="17" t="inlineStr">
        <is>
          <t>Green numbers: pulled from another sheet.</t>
        </is>
      </c>
    </row>
    <row r="23">
      <c r="A23" s="18" t="inlineStr">
        <is>
          <t>Yellow cells: fill these in yourself.</t>
        </is>
      </c>
    </row>
  </sheetData>
  <mergeCells count="6">
    <mergeCell ref="A21:H21"/>
    <mergeCell ref="H9:H10"/>
    <mergeCell ref="A20:H20"/>
    <mergeCell ref="A2:H2"/>
    <mergeCell ref="A23:H23"/>
    <mergeCell ref="A22:H22"/>
  </mergeCells>
  <hyperlinks>
    <hyperlink xmlns:r="http://schemas.openxmlformats.org/officeDocument/2006/relationships" ref="D5" r:id="rId1"/>
  </hyperlinks>
  <pageMargins left="0.4" right="0.4" top="0.5" bottom="0.5"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H23"/>
  <sheetViews>
    <sheetView showGridLines="0" workbookViewId="0">
      <pane ySplit="4" topLeftCell="A5" activePane="bottomLeft" state="frozen"/>
      <selection pane="bottomLeft" activeCell="A1" sqref="A1"/>
    </sheetView>
  </sheetViews>
  <sheetFormatPr baseColWidth="8" defaultRowHeight="15"/>
  <cols>
    <col width="34" customWidth="1" min="1" max="1"/>
    <col width="40" customWidth="1" min="2" max="2"/>
    <col width="18" customWidth="1" min="3" max="3"/>
    <col width="8" customWidth="1" min="4" max="4"/>
    <col width="6" customWidth="1" min="5" max="5"/>
    <col width="12" customWidth="1" min="6" max="6"/>
    <col width="12" customWidth="1" min="7" max="7"/>
    <col width="46" customWidth="1" min="8" max="8"/>
  </cols>
  <sheetData>
    <row r="1">
      <c r="A1" s="1" t="inlineStr">
        <is>
          <t>Optional upgrade: read oxygen and temperature with sensors too</t>
        </is>
      </c>
    </row>
    <row r="2">
      <c r="A2" s="2" t="inlineStr">
        <is>
          <t>Prices checked on the store websites, Oct 6, 2026. Shipping and tax are not included. Buy these only if you can spend more. They plug into the radar kit's Grove port, with no soldering.</t>
        </is>
      </c>
    </row>
    <row r="4">
      <c r="A4" s="3" t="inlineStr">
        <is>
          <t>Item to buy</t>
        </is>
      </c>
      <c r="B4" s="3" t="inlineStr">
        <is>
          <t>What it does</t>
        </is>
      </c>
      <c r="C4" s="3" t="inlineStr">
        <is>
          <t>Store</t>
        </is>
      </c>
      <c r="D4" s="3" t="inlineStr">
        <is>
          <t>Link</t>
        </is>
      </c>
      <c r="E4" s="3" t="inlineStr">
        <is>
          <t>Qty</t>
        </is>
      </c>
      <c r="F4" s="3" t="inlineStr">
        <is>
          <t>Unit price</t>
        </is>
      </c>
      <c r="G4" s="3" t="inlineStr">
        <is>
          <t>Line total</t>
        </is>
      </c>
      <c r="H4" s="3" t="inlineStr">
        <is>
          <t>Notes</t>
        </is>
      </c>
    </row>
    <row r="5" ht="42" customHeight="1">
      <c r="A5" s="4" t="inlineStr">
        <is>
          <t>MAX30102 pulse oximeter module (pins pre-soldered)</t>
        </is>
      </c>
      <c r="B5" s="4" t="inlineStr">
        <is>
          <t>Reads SpO2 and heart rate from a fingertip.</t>
        </is>
      </c>
      <c r="C5" s="4" t="inlineStr">
        <is>
          <t>ShillehTek</t>
        </is>
      </c>
      <c r="D5" s="5" t="inlineStr">
        <is>
          <t>Open</t>
        </is>
      </c>
      <c r="E5" s="6" t="n">
        <v>1</v>
      </c>
      <c r="F5" s="7" t="n">
        <v>6.99</v>
      </c>
      <c r="G5" s="8">
        <f>E5*F5</f>
        <v/>
      </c>
      <c r="H5" s="4" t="inlineStr">
        <is>
          <t>US seller. Cheap modules give noisier SpO2 than medical oximeters. Use SparkFun's free MAX3010x Arduino library.</t>
        </is>
      </c>
    </row>
    <row r="6" ht="42" customHeight="1">
      <c r="A6" s="4" t="inlineStr">
        <is>
          <t>Adafruit MCP9808 temperature sensor, STEMMA QT (#5027)</t>
        </is>
      </c>
      <c r="B6" s="4" t="inlineStr">
        <is>
          <t>Reads skin temperature when taped under the arm. ±0.25 °C typical.</t>
        </is>
      </c>
      <c r="C6" s="4" t="inlineStr">
        <is>
          <t>Adafruit</t>
        </is>
      </c>
      <c r="D6" s="5" t="inlineStr">
        <is>
          <t>Open</t>
        </is>
      </c>
      <c r="E6" s="6" t="n">
        <v>1</v>
      </c>
      <c r="F6" s="7" t="n">
        <v>4.95</v>
      </c>
      <c r="G6" s="8">
        <f>E6*F6</f>
        <v/>
      </c>
      <c r="H6" s="4" t="inlineStr">
        <is>
          <t>Measures skin temperature, which runs a little below core temperature. Has plug-in STEMMA QT ports, so no soldering.</t>
        </is>
      </c>
    </row>
    <row r="7" ht="42" customHeight="1">
      <c r="A7" s="4" t="inlineStr">
        <is>
          <t>Grove to STEMMA QT cable, 100 mm (#4528)</t>
        </is>
      </c>
      <c r="B7" s="4" t="inlineStr">
        <is>
          <t>Connects the radar kit's Grove port to the temperature sensor.</t>
        </is>
      </c>
      <c r="C7" s="4" t="inlineStr">
        <is>
          <t>Adafruit</t>
        </is>
      </c>
      <c r="D7" s="5" t="inlineStr">
        <is>
          <t>Open</t>
        </is>
      </c>
      <c r="E7" s="6" t="n">
        <v>1</v>
      </c>
      <c r="F7" s="7" t="n">
        <v>1.95</v>
      </c>
      <c r="G7" s="8">
        <f>E7*F7</f>
        <v/>
      </c>
      <c r="H7" s="4" t="inlineStr">
        <is>
          <t>Same Adafruit order as the sensor.</t>
        </is>
      </c>
    </row>
    <row r="8" ht="42" customHeight="1">
      <c r="A8" s="4" t="inlineStr">
        <is>
          <t>STEMMA QT to female sockets cable, 150 mm (#4397)</t>
        </is>
      </c>
      <c r="B8" s="4" t="inlineStr">
        <is>
          <t>Connects the temperature sensor to the oximeter's pins.</t>
        </is>
      </c>
      <c r="C8" s="4" t="inlineStr">
        <is>
          <t>Adafruit</t>
        </is>
      </c>
      <c r="D8" s="5" t="inlineStr">
        <is>
          <t>Open</t>
        </is>
      </c>
      <c r="E8" s="6" t="n">
        <v>1</v>
      </c>
      <c r="F8" s="7" t="n">
        <v>0.95</v>
      </c>
      <c r="G8" s="8">
        <f>E8*F8</f>
        <v/>
      </c>
      <c r="H8" s="4" t="inlineStr">
        <is>
          <t>Same Adafruit order as the sensor.</t>
        </is>
      </c>
    </row>
    <row r="10">
      <c r="F10" s="9" t="inlineStr">
        <is>
          <t>Upgrade subtotal</t>
        </is>
      </c>
      <c r="G10" s="10">
        <f>SUM(G5:G8)</f>
        <v/>
      </c>
    </row>
    <row r="11">
      <c r="F11" s="9" t="inlineStr">
        <is>
          <t>Best Deal parts</t>
        </is>
      </c>
      <c r="G11" s="19">
        <f>'Best Deal'!G7</f>
        <v/>
      </c>
    </row>
    <row r="12">
      <c r="F12" s="9" t="inlineStr">
        <is>
          <t>Parts total for both</t>
        </is>
      </c>
      <c r="G12" s="10">
        <f>G10+G11</f>
        <v/>
      </c>
      <c r="H12" s="20" t="inlineStr">
        <is>
          <t>Before shipping. This adds two more orders (ShillehTek and Adafruit), each with its own shipping charge.</t>
        </is>
      </c>
    </row>
    <row r="13">
      <c r="F13" s="9" t="inlineStr">
        <is>
          <t>Over your budget by</t>
        </is>
      </c>
      <c r="G13" s="10">
        <f>MAX(0,G12-'Best Deal'!G10)</f>
        <v/>
      </c>
    </row>
    <row r="15">
      <c r="A15" s="13" t="inlineStr">
        <is>
          <t>How it plugs together (no soldering)</t>
        </is>
      </c>
    </row>
    <row r="16" ht="30" customHeight="1">
      <c r="A16" s="20" t="inlineStr">
        <is>
          <t>Radar kit Grove port (D10 = SDA, D0 = SCL)  →  Grove-to-STEMMA QT cable  →  MCP9808 temperature sensor  →  STEMMA QT-to-female cable  →  MAX30102 oximeter pins (VIN, GND, SCL, SDA)</t>
        </is>
      </c>
    </row>
    <row r="17">
      <c r="A17" s="21" t="inlineStr">
        <is>
          <t>Both sensors share the same two data wires because they use different I2C addresses (MCP9808 = 0x18, MAX30102 = 0x57).</t>
        </is>
      </c>
    </row>
    <row r="19">
      <c r="A19" s="13" t="inlineStr">
        <is>
          <t>How to read this sheet</t>
        </is>
      </c>
    </row>
    <row r="20">
      <c r="A20" s="15" t="inlineStr">
        <is>
          <t>Blue numbers: prices and quantities typed in from the store pages. Change them if a price changes.</t>
        </is>
      </c>
    </row>
    <row r="21">
      <c r="A21" s="16" t="inlineStr">
        <is>
          <t>Black numbers: formulas. They update on their own.</t>
        </is>
      </c>
    </row>
    <row r="22">
      <c r="A22" s="17" t="inlineStr">
        <is>
          <t>Green numbers: pulled from another sheet.</t>
        </is>
      </c>
    </row>
    <row r="23">
      <c r="A23" s="18" t="inlineStr">
        <is>
          <t>Yellow cells: fill these in yourself.</t>
        </is>
      </c>
    </row>
  </sheetData>
  <mergeCells count="8">
    <mergeCell ref="A21:H21"/>
    <mergeCell ref="A20:H20"/>
    <mergeCell ref="A16:H16"/>
    <mergeCell ref="A2:H2"/>
    <mergeCell ref="H12:H13"/>
    <mergeCell ref="A23:H23"/>
    <mergeCell ref="A22:H22"/>
    <mergeCell ref="A17:H17"/>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s>
  <pageMargins left="0.4" right="0.4" top="0.5" bottom="0.5"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F11"/>
  <sheetViews>
    <sheetView showGridLines="0" workbookViewId="0">
      <pane ySplit="4" topLeftCell="A5" activePane="bottomLeft" state="frozen"/>
      <selection pane="bottomLeft" activeCell="A1" sqref="A1"/>
    </sheetView>
  </sheetViews>
  <sheetFormatPr baseColWidth="8" defaultRowHeight="15"/>
  <cols>
    <col width="30" customWidth="1" min="1" max="1"/>
    <col width="18" customWidth="1" min="2" max="2"/>
    <col width="30" customWidth="1" min="3" max="3"/>
    <col width="40" customWidth="1" min="4" max="4"/>
    <col width="40" customWidth="1" min="5" max="5"/>
    <col width="14" customWidth="1" min="6" max="6"/>
  </cols>
  <sheetData>
    <row r="1">
      <c r="A1" s="1" t="inlineStr">
        <is>
          <t>Every option I looked at</t>
        </is>
      </c>
    </row>
    <row r="2">
      <c r="A2" s="2" t="inlineStr">
        <is>
          <t>Prices checked on the store websites, Oct 6, 2026. Shipping and tax are not included.</t>
        </is>
      </c>
    </row>
    <row r="4">
      <c r="A4" s="22" t="inlineStr">
        <is>
          <t>Option</t>
        </is>
      </c>
      <c r="B4" s="22" t="inlineStr">
        <is>
          <t>Parts cost</t>
        </is>
      </c>
      <c r="C4" s="22" t="inlineStr">
        <is>
          <t>Vitals from hardware</t>
        </is>
      </c>
      <c r="D4" s="22" t="inlineStr">
        <is>
          <t>Main downside</t>
        </is>
      </c>
      <c r="E4" s="22" t="inlineStr">
        <is>
          <t>Why</t>
        </is>
      </c>
      <c r="F4" s="22" t="inlineStr">
        <is>
          <t>Verdict</t>
        </is>
      </c>
    </row>
    <row r="5" ht="44" customHeight="1">
      <c r="A5" s="4" t="inlineStr">
        <is>
          <t>1. Radar kit only</t>
        </is>
      </c>
      <c r="B5" s="23">
        <f>'Best Deal'!G7</f>
        <v/>
      </c>
      <c r="C5" s="4" t="inlineStr">
        <is>
          <t>Heart rate, breathing</t>
        </is>
      </c>
      <c r="D5" s="4" t="inlineStr">
        <is>
          <t>Oxygen and temperature are typed in by hand (or skipped).</t>
        </is>
      </c>
      <c r="E5" s="4" t="inlineStr">
        <is>
          <t>Keeps the contact-free radar, the main idea of the project, and fits the budget.</t>
        </is>
      </c>
      <c r="F5" s="24" t="inlineStr">
        <is>
          <t>Best deal</t>
        </is>
      </c>
    </row>
    <row r="6" ht="44" customHeight="1">
      <c r="A6" s="4" t="inlineStr">
        <is>
          <t>2. Radar kit + upgrade sensors</t>
        </is>
      </c>
      <c r="B6" s="23">
        <f>'Upgrade (+$15)'!G12</f>
        <v/>
      </c>
      <c r="C6" s="4" t="inlineStr">
        <is>
          <t>Heart rate, breathing, oxygen, temperature</t>
        </is>
      </c>
      <c r="D6" s="4" t="inlineStr">
        <is>
          <t>About $15 over budget, plus extra shipping from two more stores.</t>
        </is>
      </c>
      <c r="E6" s="4" t="inlineStr">
        <is>
          <t>Can be added later without wasting anything.</t>
        </is>
      </c>
      <c r="F6" s="4" t="inlineStr">
        <is>
          <t>Upgrade later</t>
        </is>
      </c>
    </row>
    <row r="7" ht="44" customHeight="1">
      <c r="A7" s="4" t="inlineStr">
        <is>
          <t>3. No radar: ESP32 board + MAX30102 + temperature sensor</t>
        </is>
      </c>
      <c r="B7" s="4" t="inlineStr">
        <is>
          <t>About $15-20 (estimate)</t>
        </is>
      </c>
      <c r="C7" s="4" t="inlineStr">
        <is>
          <t>Heart rate, oxygen, temperature</t>
        </is>
      </c>
      <c r="D7" s="4" t="inlineStr">
        <is>
          <t>No breathing rate and no contact-free sensing.</t>
        </is>
      </c>
      <c r="E7" s="4" t="inlineStr">
        <is>
          <t>Drops what makes SepsisWatch different.</t>
        </is>
      </c>
      <c r="F7" s="4" t="inlineStr">
        <is>
          <t>Not recommended</t>
        </is>
      </c>
    </row>
    <row r="8" ht="44" customHeight="1">
      <c r="A8" s="4" t="inlineStr">
        <is>
          <t>Hi-Link LD6002 radar from AliExpress + ESP32 board + sensors</t>
        </is>
      </c>
      <c r="B8" s="4" t="inlineStr">
        <is>
          <t>About $25 (estimate)</t>
        </is>
      </c>
      <c r="C8" s="4" t="inlineStr">
        <is>
          <t>All four</t>
        </is>
      </c>
      <c r="D8" s="4" t="inlineStr">
        <is>
          <t>Ships from China, so it may not arrive before Oct 26. Thin documentation. Needs its own 3.3 V, 600 mA power supply.</t>
        </is>
      </c>
      <c r="E8" s="4" t="inlineStr">
        <is>
          <t>Saves only about $6 over option 2's radar for a lot more risk.</t>
        </is>
      </c>
      <c r="F8" s="4" t="inlineStr">
        <is>
          <t>Rejected</t>
        </is>
      </c>
    </row>
    <row r="9" ht="44" customHeight="1">
      <c r="A9" s="4" t="inlineStr">
        <is>
          <t>SparkFun MAX32664 oximeter + Adafruit Feather + MLX90632 (first plan)</t>
        </is>
      </c>
      <c r="B9" s="4" t="inlineStr">
        <is>
          <t>About $130</t>
        </is>
      </c>
      <c r="C9" s="4" t="inlineStr">
        <is>
          <t>All four</t>
        </is>
      </c>
      <c r="D9" s="4" t="inlineStr">
        <is>
          <t>Far over budget.</t>
        </is>
      </c>
      <c r="E9" s="4" t="inlineStr">
        <is>
          <t>Better sensors, but not needed for the demo.</t>
        </is>
      </c>
      <c r="F9" s="4" t="inlineStr">
        <is>
          <t>Too expensive</t>
        </is>
      </c>
    </row>
    <row r="11">
      <c r="A11" s="2" t="inlineStr">
        <is>
          <t>Estimates in column B are rough totals from listings I found, not exact prices.</t>
        </is>
      </c>
    </row>
  </sheetData>
  <mergeCells count="2">
    <mergeCell ref="A2:F2"/>
    <mergeCell ref="A11:F11"/>
  </mergeCells>
  <pageMargins left="0.4" right="0.4"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6" customWidth="1" min="1" max="1"/>
    <col width="95" customWidth="1" min="2" max="2"/>
  </cols>
  <sheetData>
    <row r="1">
      <c r="A1" s="1" t="inlineStr">
        <is>
          <t>Where each price came from (checked Oct 6, 2026)</t>
        </is>
      </c>
    </row>
    <row r="3">
      <c r="A3" s="21" t="inlineStr">
        <is>
          <t>Seeed MR60BHA2 kit, $26.99</t>
        </is>
      </c>
      <c r="B3" s="25" t="inlineStr">
        <is>
          <t>https://www.seeedstudio.com/MR60BHA2-60GHz-mmWave-Sensor-Breathing-and-Heartbeat-Module-p-5945.html</t>
        </is>
      </c>
    </row>
    <row r="4">
      <c r="A4" s="21" t="inlineStr">
        <is>
          <t>MR60BHA2 setup guide (Seeed wiki)</t>
        </is>
      </c>
      <c r="B4" s="25" t="inlineStr">
        <is>
          <t>https://wiki.seeedstudio.com/getting_started_with_mr60bha2_mmwave_kit/</t>
        </is>
      </c>
    </row>
    <row r="5">
      <c r="A5" s="21" t="inlineStr">
        <is>
          <t>Grove port used for extra I2C sensors (D10 = SDA, D0 = SCL)</t>
        </is>
      </c>
      <c r="B5" s="25" t="inlineStr">
        <is>
          <t>https://fabacademy.org/2025/labs/barcelona/students/andrew-mark/notion_final_project_electronics_and_control/notion_final_project_electronics_and_control.html</t>
        </is>
      </c>
    </row>
    <row r="6">
      <c r="A6" s="21" t="inlineStr">
        <is>
          <t>MAX30102 module, pre-soldered, $6.99</t>
        </is>
      </c>
      <c r="B6" s="25" t="inlineStr">
        <is>
          <t>https://shillehtek.com/products/max30102-heart-rate-pulse-oximeter-sensor-module-black-presoldered</t>
        </is>
      </c>
    </row>
    <row r="7">
      <c r="A7" s="21" t="inlineStr">
        <is>
          <t>Adafruit MCP9808 STEMMA QT, $4.95</t>
        </is>
      </c>
      <c r="B7" s="25" t="inlineStr">
        <is>
          <t>https://www.adafruit.com/product/5027</t>
        </is>
      </c>
    </row>
    <row r="8">
      <c r="A8" s="21" t="inlineStr">
        <is>
          <t>Adafruit Grove to STEMMA QT cable, $1.95</t>
        </is>
      </c>
      <c r="B8" s="25" t="inlineStr">
        <is>
          <t>https://www.adafruit.com/product/4528</t>
        </is>
      </c>
    </row>
    <row r="9">
      <c r="A9" s="21" t="inlineStr">
        <is>
          <t>Adafruit STEMMA QT to female sockets cable, $0.95</t>
        </is>
      </c>
      <c r="B9" s="25" t="inlineStr">
        <is>
          <t>https://www.adafruit.com/product/4397</t>
        </is>
      </c>
    </row>
    <row r="10">
      <c r="A10" s="21" t="inlineStr">
        <is>
          <t>Hi-Link LD6002 radar (AliExpress)</t>
        </is>
      </c>
      <c r="B10" s="25" t="inlineStr">
        <is>
          <t>https://www.aliexpress.us/item/3256806116731945.html</t>
        </is>
      </c>
    </row>
    <row r="11">
      <c r="A11" s="21" t="inlineStr">
        <is>
          <t>Seeed shipping policy</t>
        </is>
      </c>
      <c r="B11" s="25" t="inlineStr">
        <is>
          <t>https://www.seeedstudio.com/blog/2025/06/05/free-shipping-is-back-faster-global-delivery-now-available/</t>
        </is>
      </c>
    </row>
  </sheetData>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2026-10-06T18:20:30Z</dcterms:created>
  <dcterms:modified xsi:type="dcterms:W3CDTF">2026-10-06T18:21:02Z</dcterms:modified>
</cp:coreProperties>
</file>